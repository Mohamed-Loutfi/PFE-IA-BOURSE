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<sst xmlns="http://schemas.openxmlformats.org/spreadsheetml/2006/main" count="12" uniqueCount="12">
  <si>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Trimestres</t>
  </si>
  <si>
    <t>Inflation</t>
  </si>
  <si>
    <t>Chomage</t>
  </si>
  <si>
    <t xml:space="preserve">Date de publication</t>
  </si>
  <si>
    <t xml:space="preserve">T1 2022</t>
  </si>
  <si>
    <t>T2</t>
  </si>
  <si>
    <t>T3</t>
  </si>
  <si>
    <t>T4</t>
  </si>
  <si>
    <t xml:space="preserve">T1 2023</t>
  </si>
  <si>
    <t xml:space="preserve">T1 2024</t>
  </si>
  <si>
    <t xml:space="preserve">T1 2025</t>
  </si>
  <si>
    <t>https://fr.tradingeconomics.com/morocco/unemployment-rate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</si>
</sst>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/mm/yyyy;@"/>
  </numFmts>
  <fonts count="5">
    <font>
      <sz val="11.000000"/>
      <color theme="1"/>
      <name val="Calibri"/>
      <scheme val="minor"/>
    </font>
    <font>
      <color theme="1"/>
      <name val="Arial"/>
    </font>
    <font>
      <color indexed="64"/>
      <name val="Arial"/>
    </font>
    <font>
      <sz val="11.000000"/>
      <color theme="1"/>
      <name val="Calibri"/>
    </font>
    <font>
      <u/>
      <sz val="11.00000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indexed="65"/>
        <bgColor indexed="65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1" numFmtId="0" xfId="0" applyFill="1" applyBorder="1"/>
    <xf fontId="0" fillId="2" borderId="1" numFmtId="0" xfId="0" applyFill="1" applyBorder="1" applyAlignment="1">
      <alignment horizontal="center"/>
    </xf>
    <xf fontId="0" fillId="2" borderId="1" numFmtId="0" xfId="0" applyFill="1" applyBorder="1"/>
    <xf fontId="0" fillId="2" borderId="1" numFmtId="0" xfId="0" applyFill="1" applyBorder="1" applyAlignment="1">
      <alignment horizontal="center"/>
    </xf>
    <xf fontId="0" fillId="0" borderId="1" numFmtId="0" xfId="0" applyBorder="1" applyAlignment="1">
      <alignment horizontal="center"/>
    </xf>
    <xf fontId="1" fillId="0" borderId="1" numFmtId="164" xfId="0" applyNumberFormat="1" applyFont="1" applyBorder="1" applyAlignment="1">
      <alignment horizontal="center"/>
    </xf>
    <xf fontId="0" fillId="0" borderId="1" numFmtId="165" xfId="0" applyNumberFormat="1" applyBorder="1" applyAlignment="1">
      <alignment horizontal="center"/>
    </xf>
    <xf fontId="2" fillId="0" borderId="1" numFmtId="164" xfId="0" applyNumberFormat="1" applyFont="1" applyBorder="1" applyAlignment="1">
      <alignment horizontal="center"/>
    </xf>
    <xf fontId="1" fillId="0" borderId="2" numFmtId="164" xfId="0" applyNumberFormat="1" applyFont="1" applyBorder="1" applyAlignment="1">
      <alignment horizontal="center"/>
    </xf>
    <xf fontId="0" fillId="0" borderId="1" numFmtId="0" xfId="0" applyBorder="1" applyAlignment="1">
      <alignment horizontal="center" vertical="center"/>
    </xf>
    <xf fontId="1" fillId="0" borderId="3" numFmtId="164" xfId="0" applyNumberFormat="1" applyFont="1" applyBorder="1" applyAlignment="1">
      <alignment horizontal="center"/>
    </xf>
    <xf fontId="3" fillId="3" borderId="3" numFmtId="164" xfId="0" applyNumberFormat="1" applyFont="1" applyFill="1" applyBorder="1" applyAlignment="1">
      <alignment horizontal="center"/>
    </xf>
    <xf fontId="4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fr.tradingeconomics.com/morocco/unemployment-r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9.62109375"/>
    <col bestFit="1" min="3" max="3" width="25.40234375"/>
    <col bestFit="1" min="4" max="4" width="26.3125"/>
    <col bestFit="1" customWidth="1" min="5" max="5" width="17.51171875"/>
  </cols>
  <sheetData>
    <row r="2" ht="14.25">
      <c r="B2" s="1" t="s">
        <v>0</v>
      </c>
      <c r="C2" s="2" t="s">
        <v>1</v>
      </c>
      <c r="D2" s="3" t="s">
        <v>2</v>
      </c>
      <c r="E2" s="4" t="s">
        <v>3</v>
      </c>
    </row>
    <row r="3" ht="14.25">
      <c r="B3" s="5" t="s">
        <v>4</v>
      </c>
      <c r="C3" s="6">
        <v>4</v>
      </c>
      <c r="D3" s="5">
        <v>12.1</v>
      </c>
      <c r="E3" s="7">
        <f>DATE(2022,8,5)</f>
        <v>44778</v>
      </c>
    </row>
    <row r="4" ht="14.25">
      <c r="B4" s="5" t="s">
        <v>5</v>
      </c>
      <c r="C4" s="6">
        <v>6.2999999999999998</v>
      </c>
      <c r="D4" s="5">
        <v>11.199999999999999</v>
      </c>
      <c r="E4" s="7">
        <f>DATE(2022,11,5)</f>
        <v>44870</v>
      </c>
    </row>
    <row r="5" ht="14.25">
      <c r="B5" s="5" t="s">
        <v>6</v>
      </c>
      <c r="C5" s="6">
        <v>8.0999999999999996</v>
      </c>
      <c r="D5" s="5">
        <v>11.4</v>
      </c>
      <c r="E5" s="7">
        <f>DATE(2023,2,5)</f>
        <v>44962</v>
      </c>
    </row>
    <row r="6" ht="14.25">
      <c r="B6" s="5" t="s">
        <v>7</v>
      </c>
      <c r="C6" s="8">
        <v>8.3000000000000007</v>
      </c>
      <c r="D6" s="5">
        <v>11.800000000000001</v>
      </c>
      <c r="E6" s="7">
        <f>DATE(2023,5,5)</f>
        <v>45051</v>
      </c>
    </row>
    <row r="7" ht="14.25">
      <c r="B7" s="5" t="s">
        <v>8</v>
      </c>
      <c r="C7" s="9">
        <v>9.0999999999999996</v>
      </c>
      <c r="D7" s="10">
        <v>12.9</v>
      </c>
      <c r="E7" s="7">
        <f>DATE(2023,8,5)</f>
        <v>45143</v>
      </c>
    </row>
    <row r="8" ht="14.25">
      <c r="B8" s="5" t="s">
        <v>5</v>
      </c>
      <c r="C8" s="11">
        <v>6.7999999999999998</v>
      </c>
      <c r="D8" s="10">
        <v>12.4</v>
      </c>
      <c r="E8" s="7">
        <f>DATE(2023,11,5)</f>
        <v>45235</v>
      </c>
    </row>
    <row r="9" ht="14.25">
      <c r="B9" s="5" t="s">
        <v>6</v>
      </c>
      <c r="C9" s="11">
        <v>4.9000000000000004</v>
      </c>
      <c r="D9" s="10">
        <v>13.5</v>
      </c>
      <c r="E9" s="7">
        <f>DATE(2024,2,5)</f>
        <v>45327</v>
      </c>
    </row>
    <row r="10" ht="14.25">
      <c r="B10" s="5" t="s">
        <v>7</v>
      </c>
      <c r="C10" s="11">
        <v>3.7999999999999998</v>
      </c>
      <c r="D10" s="10">
        <v>13</v>
      </c>
      <c r="E10" s="7">
        <f>DATE(2024,5,5)</f>
        <v>45417</v>
      </c>
    </row>
    <row r="11" ht="14.25">
      <c r="B11" s="5" t="s">
        <v>9</v>
      </c>
      <c r="C11" s="11">
        <v>1.2</v>
      </c>
      <c r="D11" s="10">
        <v>13.699999999999999</v>
      </c>
      <c r="E11" s="7">
        <f>DATE(2024,8,5)</f>
        <v>45509</v>
      </c>
    </row>
    <row r="12" ht="14.25">
      <c r="B12" s="5" t="s">
        <v>5</v>
      </c>
      <c r="C12" s="11">
        <v>0.80000000000000004</v>
      </c>
      <c r="D12" s="10">
        <v>13.1</v>
      </c>
      <c r="E12" s="7">
        <f>DATE(2024,11,5)</f>
        <v>45601</v>
      </c>
    </row>
    <row r="13" ht="14.25">
      <c r="B13" s="5" t="s">
        <v>6</v>
      </c>
      <c r="C13" s="11">
        <v>1.3</v>
      </c>
      <c r="D13" s="10">
        <v>13.6</v>
      </c>
      <c r="E13" s="7">
        <f>DATE(2025,2,5)</f>
        <v>45693</v>
      </c>
    </row>
    <row r="14" ht="14.25">
      <c r="B14" s="5" t="s">
        <v>7</v>
      </c>
      <c r="C14" s="11">
        <v>0.69999999999999996</v>
      </c>
      <c r="D14" s="10">
        <v>13.300000000000001</v>
      </c>
      <c r="E14" s="7">
        <f>DATE(2025,5,5)</f>
        <v>45782</v>
      </c>
    </row>
    <row r="15" ht="14.25">
      <c r="B15" s="5" t="s">
        <v>10</v>
      </c>
      <c r="C15" s="12">
        <v>2</v>
      </c>
      <c r="D15" s="10">
        <v>13.300000000000001</v>
      </c>
      <c r="E15" s="7">
        <f>DATE(2025,8,5)</f>
        <v>45874</v>
      </c>
    </row>
    <row r="16" ht="14.25">
      <c r="B16" s="5" t="s">
        <v>5</v>
      </c>
      <c r="C16" s="12">
        <v>0.5</v>
      </c>
      <c r="D16" s="10">
        <v>12.800000000000001</v>
      </c>
      <c r="E16" s="7">
        <f>DATE(2025,11,5)</f>
        <v>45966</v>
      </c>
    </row>
    <row r="17" ht="14.25">
      <c r="B17" s="5" t="s">
        <v>6</v>
      </c>
      <c r="C17" s="12">
        <v>0.40000000000000002</v>
      </c>
      <c r="D17" s="10">
        <v>13.1</v>
      </c>
      <c r="E17" s="7">
        <f>DATE(2026,2,5)</f>
        <v>46058</v>
      </c>
    </row>
    <row r="18" ht="14.25">
      <c r="B18" s="13" t="s">
        <v>11</v>
      </c>
      <c r="C18" s="13"/>
    </row>
  </sheetData>
  <hyperlinks>
    <hyperlink r:id="rId1" ref="B18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2026-03-10T13:24:23Z</dcterms:modified>
</cp:coreProperties>
</file>